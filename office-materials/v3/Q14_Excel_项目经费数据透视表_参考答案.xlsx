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题目说明" sheetId="1" r:id="rId1"/>
    <sheet name="原始数据" sheetId="2" r:id="rId2"/>
    <sheet name="参考答案" sheetId="3" r:id="rId3"/>
    <sheet name="透视表参考" sheetId="4" r:id="rId4"/>
  </sheets>
  <definedNames>
    <definedName name="_xlnm._FilterDatabase" localSheetId="1">'原始数据'!A1:D17</definedName>
  </definedNames>
  <calcPr calcId="191029" fullCalcOnLoad="1" forceFullCalc="1"/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56" formatCode="&quot;上午/下午 &quot;hh&quot;時&quot;mm&quot;分&quot;ss&quot;秒 &quot;"/>
    <numFmt numFmtId="60" formatCode="yyyy-mm-dd"/>
    <numFmt numFmtId="61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6"/>
  <sheetViews>
    <sheetView workbookViewId="0"/>
  </sheetViews>
  <cols>
    <col min="1" max="1" width="54.83203125" customWidth="1"/>
  </cols>
  <sheetData>
    <row r="1">
      <c r="A1" t="str">
        <v>山东专升本计算机学习系统 · Office 实操题</v>
      </c>
    </row>
    <row r="2">
      <c r="A2" t="str">
        <v>题号：Q14</v>
      </c>
    </row>
    <row r="3">
      <c r="A3" t="str">
        <v>题目：项目经费数据透视表</v>
      </c>
    </row>
    <row r="4">
      <c r="A4" t="str">
        <v>材料说明： 学生材料含项目类别、季度、金额、状态四个字段。 原始数据共16条，状态包括“进行中、已结项”。</v>
      </c>
    </row>
    <row r="5">
      <c r="A5" t="str">
        <v>任务目标： 选择完整数据区域创建数据透视表。 拖放类别、季度、金额、状态字段到指定区域。 设置状态筛选为“已结项”，核对汇总结果。</v>
      </c>
    </row>
    <row r="6">
      <c r="A6" t="str">
        <v>注意：请在“原始数据”工作表中操作；不要删除表头。</v>
      </c>
    </row>
  </sheetData>
  <ignoredErrors>
    <ignoredError numberStoredAsText="1" sqref="A1:A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D17"/>
  <sheetViews>
    <sheetView workbookViewId="0"/>
  </sheetViews>
  <cols>
    <col min="1" max="1" width="12.83203125" customWidth="1"/>
    <col min="2" max="2" width="12.83203125" customWidth="1"/>
    <col min="3" max="3" width="12.83203125" customWidth="1"/>
    <col min="4" max="4" width="12.83203125" customWidth="1"/>
  </cols>
  <sheetData>
    <row r="1">
      <c r="A1" t="str">
        <v>项目类别</v>
      </c>
      <c r="B1" t="str">
        <v>季度</v>
      </c>
      <c r="C1" t="str">
        <v>金额</v>
      </c>
      <c r="D1" t="str">
        <v>状态</v>
      </c>
    </row>
    <row r="2">
      <c r="A2" t="str">
        <v>课程建设</v>
      </c>
      <c r="B2" t="str">
        <v>第一季度</v>
      </c>
      <c r="C2">
        <v>8200</v>
      </c>
      <c r="D2" t="str">
        <v>已结项</v>
      </c>
    </row>
    <row r="3">
      <c r="A3" t="str">
        <v>课程建设</v>
      </c>
      <c r="B3" t="str">
        <v>第二季度</v>
      </c>
      <c r="C3">
        <v>7600</v>
      </c>
      <c r="D3" t="str">
        <v>进行中</v>
      </c>
    </row>
    <row r="4">
      <c r="A4" t="str">
        <v>设备维护</v>
      </c>
      <c r="B4" t="str">
        <v>第一季度</v>
      </c>
      <c r="C4">
        <v>4300</v>
      </c>
      <c r="D4" t="str">
        <v>已结项</v>
      </c>
    </row>
    <row r="5">
      <c r="A5" t="str">
        <v>设备维护</v>
      </c>
      <c r="B5" t="str">
        <v>第三季度</v>
      </c>
      <c r="C5">
        <v>6800</v>
      </c>
      <c r="D5" t="str">
        <v>已结项</v>
      </c>
    </row>
    <row r="6">
      <c r="A6" t="str">
        <v>竞赛培训</v>
      </c>
      <c r="B6" t="str">
        <v>第二季度</v>
      </c>
      <c r="C6">
        <v>5200</v>
      </c>
      <c r="D6" t="str">
        <v>进行中</v>
      </c>
    </row>
    <row r="7">
      <c r="A7" t="str">
        <v>竞赛培训</v>
      </c>
      <c r="B7" t="str">
        <v>第四季度</v>
      </c>
      <c r="C7">
        <v>7400</v>
      </c>
      <c r="D7" t="str">
        <v>已结项</v>
      </c>
    </row>
    <row r="8">
      <c r="A8" t="str">
        <v>课程建设</v>
      </c>
      <c r="B8" t="str">
        <v>第三季度</v>
      </c>
      <c r="C8">
        <v>9100</v>
      </c>
      <c r="D8" t="str">
        <v>已结项</v>
      </c>
    </row>
    <row r="9">
      <c r="A9" t="str">
        <v>设备维护</v>
      </c>
      <c r="B9" t="str">
        <v>第二季度</v>
      </c>
      <c r="C9">
        <v>3500</v>
      </c>
      <c r="D9" t="str">
        <v>进行中</v>
      </c>
    </row>
    <row r="10">
      <c r="A10" t="str">
        <v>竞赛培训</v>
      </c>
      <c r="B10" t="str">
        <v>第一季度</v>
      </c>
      <c r="C10">
        <v>4600</v>
      </c>
      <c r="D10" t="str">
        <v>已结项</v>
      </c>
    </row>
    <row r="11">
      <c r="A11" t="str">
        <v>课程建设</v>
      </c>
      <c r="B11" t="str">
        <v>第四季度</v>
      </c>
      <c r="C11">
        <v>8900</v>
      </c>
      <c r="D11" t="str">
        <v>已结项</v>
      </c>
    </row>
    <row r="12">
      <c r="A12" t="str">
        <v>设备维护</v>
      </c>
      <c r="B12" t="str">
        <v>第四季度</v>
      </c>
      <c r="C12">
        <v>7200</v>
      </c>
      <c r="D12" t="str">
        <v>已结项</v>
      </c>
    </row>
    <row r="13">
      <c r="A13" t="str">
        <v>竞赛培训</v>
      </c>
      <c r="B13" t="str">
        <v>第三季度</v>
      </c>
      <c r="C13">
        <v>5100</v>
      </c>
      <c r="D13" t="str">
        <v>进行中</v>
      </c>
    </row>
    <row r="14">
      <c r="A14" t="str">
        <v>课程建设</v>
      </c>
      <c r="B14" t="str">
        <v>第一季度</v>
      </c>
      <c r="C14">
        <v>6600</v>
      </c>
      <c r="D14" t="str">
        <v>已结项</v>
      </c>
    </row>
    <row r="15">
      <c r="A15" t="str">
        <v>设备维护</v>
      </c>
      <c r="B15" t="str">
        <v>第二季度</v>
      </c>
      <c r="C15">
        <v>3900</v>
      </c>
      <c r="D15" t="str">
        <v>已结项</v>
      </c>
    </row>
    <row r="16">
      <c r="A16" t="str">
        <v>竞赛培训</v>
      </c>
      <c r="B16" t="str">
        <v>第四季度</v>
      </c>
      <c r="C16">
        <v>8300</v>
      </c>
      <c r="D16" t="str">
        <v>已结项</v>
      </c>
    </row>
    <row r="17">
      <c r="A17" t="str">
        <v>课程建设</v>
      </c>
      <c r="B17" t="str">
        <v>第三季度</v>
      </c>
      <c r="C17">
        <v>7300</v>
      </c>
      <c r="D17" t="str">
        <v>进行中</v>
      </c>
    </row>
  </sheetData>
  <autoFilter ref="A1:D17"/>
  <ignoredErrors>
    <ignoredError numberStoredAsText="1" sqref="A1:D1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A9"/>
  <sheetViews>
    <sheetView workbookViewId="0"/>
  </sheetViews>
  <cols>
    <col min="1" max="1" width="16.83203125" customWidth="1"/>
  </cols>
  <sheetData>
    <row r="1">
      <c r="A1" t="str">
        <v>参考完成要点</v>
      </c>
    </row>
    <row r="2">
      <c r="A2" t="str">
        <v>金额字段汇总方式为“求和”，不是“计数”。</v>
      </c>
    </row>
    <row r="3">
      <c r="A3" t="str">
        <v>状态字段放入筛选区域。</v>
      </c>
    </row>
    <row r="4">
      <c r="A4" t="str">
        <v>数据源变化后可使用“刷新”更新透视表。</v>
      </c>
    </row>
    <row r="6">
      <c r="A6" t="str">
        <v>评分标准</v>
      </c>
    </row>
    <row r="7">
      <c r="A7" t="str">
        <v>数据透视表创建（3分）：源数据区域正确</v>
      </c>
    </row>
    <row r="8">
      <c r="A8" t="str">
        <v>字段布局（5分）：行/列/值/筛选字段正确</v>
      </c>
    </row>
    <row r="9">
      <c r="A9" t="str">
        <v>状态筛选（2分）：仅保留已结项项目</v>
      </c>
    </row>
  </sheetData>
  <ignoredErrors>
    <ignoredError numberStoredAsText="1" sqref="A1:A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F8"/>
  <sheetViews>
    <sheetView workbookViewId="0"/>
  </sheetViews>
  <cols>
    <col min="1" max="1" width="20.83203125" customWidth="1"/>
  </cols>
  <sheetData>
    <row r="1">
      <c r="A1" t="str">
        <v>状态筛选：已结项</v>
      </c>
    </row>
    <row r="2">
      <c r="A2" t="str">
        <v>项目类别</v>
      </c>
      <c r="B2" t="str">
        <v>第一季度</v>
      </c>
      <c r="C2" t="str">
        <v>第二季度</v>
      </c>
      <c r="D2" t="str">
        <v>第三季度</v>
      </c>
      <c r="E2" t="str">
        <v>第四季度</v>
      </c>
      <c r="F2" t="str">
        <v>总计</v>
      </c>
    </row>
    <row r="3">
      <c r="A3" t="str">
        <v>课程建设</v>
      </c>
      <c r="B3">
        <f>SUMIFS(原始数据!$C$2:$C$17,原始数据!$A$2:$A$17,$A3,原始数据!$B$2:$B$17,B$2,原始数据!$D$2:$D$17,"已结项")</f>
      </c>
      <c r="C3">
        <f>SUMIFS(原始数据!$C$2:$C$17,原始数据!$A$2:$A$17,$A3,原始数据!$B$2:$B$17,C$2,原始数据!$D$2:$D$17,"已结项")</f>
      </c>
      <c r="D3">
        <f>SUMIFS(原始数据!$C$2:$C$17,原始数据!$A$2:$A$17,$A3,原始数据!$B$2:$B$17,D$2,原始数据!$D$2:$D$17,"已结项")</f>
      </c>
      <c r="E3">
        <f>SUMIFS(原始数据!$C$2:$C$17,原始数据!$A$2:$A$17,$A3,原始数据!$B$2:$B$17,E$2,原始数据!$D$2:$D$17,"已结项")</f>
      </c>
      <c r="F3">
        <f>SUM(B3:E3)</f>
      </c>
    </row>
    <row r="4">
      <c r="A4" t="str">
        <v>设备维护</v>
      </c>
      <c r="B4">
        <f>SUMIFS(原始数据!$C$2:$C$17,原始数据!$A$2:$A$17,$A4,原始数据!$B$2:$B$17,B$2,原始数据!$D$2:$D$17,"已结项")</f>
      </c>
      <c r="C4">
        <f>SUMIFS(原始数据!$C$2:$C$17,原始数据!$A$2:$A$17,$A4,原始数据!$B$2:$B$17,C$2,原始数据!$D$2:$D$17,"已结项")</f>
      </c>
      <c r="D4">
        <f>SUMIFS(原始数据!$C$2:$C$17,原始数据!$A$2:$A$17,$A4,原始数据!$B$2:$B$17,D$2,原始数据!$D$2:$D$17,"已结项")</f>
      </c>
      <c r="E4">
        <f>SUMIFS(原始数据!$C$2:$C$17,原始数据!$A$2:$A$17,$A4,原始数据!$B$2:$B$17,E$2,原始数据!$D$2:$D$17,"已结项")</f>
      </c>
      <c r="F4">
        <f>SUM(B4:E4)</f>
      </c>
    </row>
    <row r="5">
      <c r="A5" t="str">
        <v>竞赛培训</v>
      </c>
      <c r="B5">
        <f>SUMIFS(原始数据!$C$2:$C$17,原始数据!$A$2:$A$17,$A5,原始数据!$B$2:$B$17,B$2,原始数据!$D$2:$D$17,"已结项")</f>
      </c>
      <c r="C5">
        <f>SUMIFS(原始数据!$C$2:$C$17,原始数据!$A$2:$A$17,$A5,原始数据!$B$2:$B$17,C$2,原始数据!$D$2:$D$17,"已结项")</f>
      </c>
      <c r="D5">
        <f>SUMIFS(原始数据!$C$2:$C$17,原始数据!$A$2:$A$17,$A5,原始数据!$B$2:$B$17,D$2,原始数据!$D$2:$D$17,"已结项")</f>
      </c>
      <c r="E5">
        <f>SUMIFS(原始数据!$C$2:$C$17,原始数据!$A$2:$A$17,$A5,原始数据!$B$2:$B$17,E$2,原始数据!$D$2:$D$17,"已结项")</f>
      </c>
      <c r="F5">
        <f>SUM(B5:E5)</f>
      </c>
    </row>
    <row r="6">
      <c r="A6" t="str">
        <v>总计</v>
      </c>
      <c r="B6">
        <f>SUM(B3:B5)</f>
      </c>
      <c r="C6">
        <f>SUM(C3:C5)</f>
      </c>
      <c r="D6">
        <f>SUM(D3:D5)</f>
      </c>
      <c r="E6">
        <f>SUM(E3:E5)</f>
      </c>
      <c r="F6">
        <f>SUM(F3:F5)</f>
      </c>
    </row>
    <row r="8">
      <c r="A8" t="str">
        <v>说明：SheetJS 无法稳定写出可由 Office/WPS 刷新的原生数据透视表缓存。本表用可编辑 SUMIFS 公式呈现相同字段布局和“已结项”汇总结果；教师须在 Office/WPS 中按题目步骤创建并复核原生数据透视表。</v>
      </c>
    </row>
  </sheetData>
  <ignoredErrors>
    <ignoredError numberStoredAsText="1" sqref="A1:F8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题目说明</vt:lpstr>
      <vt:lpstr>原始数据</vt:lpstr>
      <vt:lpstr>参考答案</vt:lpstr>
      <vt:lpstr>透视表参考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