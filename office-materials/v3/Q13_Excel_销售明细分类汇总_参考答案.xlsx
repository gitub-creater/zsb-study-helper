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参考答案" sheetId="3" r:id="rId3"/>
    <sheet name="分类汇总参考" sheetId="4" r:id="rId4"/>
  </sheets>
  <definedNames>
    <definedName name="_xlnm._FilterDatabase" localSheetId="1">'原始数据'!A1:E19</definedName>
  </definedName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题号：Q13</v>
      </c>
    </row>
    <row r="3">
      <c r="A3" t="str">
        <v>题目：销售明细分类汇总</v>
      </c>
    </row>
    <row r="4">
      <c r="A4" t="str">
        <v>材料说明： 学生材料含3个商品类别、18条销售记录。 每条记录包含类别、商品、数量、单价和销售额。</v>
      </c>
    </row>
    <row r="5">
      <c r="A5" t="str">
        <v>任务目标： 按“类别”列排序。 以类别为分类字段，对销售额求和。 检查分级显示中各类别小计和总计。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9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</cols>
  <sheetData>
    <row r="1">
      <c r="A1" t="str">
        <v>类别</v>
      </c>
      <c r="B1" t="str">
        <v>商品</v>
      </c>
      <c r="C1" t="str">
        <v>数量</v>
      </c>
      <c r="D1" t="str">
        <v>单价</v>
      </c>
      <c r="E1" t="str">
        <v>销售额</v>
      </c>
    </row>
    <row r="2">
      <c r="A2" t="str">
        <v>耗材</v>
      </c>
      <c r="B2" t="str">
        <v>U盘</v>
      </c>
      <c r="C2">
        <v>18</v>
      </c>
      <c r="D2">
        <v>35</v>
      </c>
      <c r="E2">
        <v>630</v>
      </c>
    </row>
    <row r="3">
      <c r="A3" t="str">
        <v>耗材</v>
      </c>
      <c r="B3" t="str">
        <v>笔记本</v>
      </c>
      <c r="C3">
        <v>36</v>
      </c>
      <c r="D3">
        <v>8</v>
      </c>
      <c r="E3">
        <v>288</v>
      </c>
    </row>
    <row r="4">
      <c r="A4" t="str">
        <v>耗材</v>
      </c>
      <c r="B4" t="str">
        <v>打印纸</v>
      </c>
      <c r="C4">
        <v>15</v>
      </c>
      <c r="D4">
        <v>26</v>
      </c>
      <c r="E4">
        <v>390</v>
      </c>
    </row>
    <row r="5">
      <c r="A5" t="str">
        <v>耗材</v>
      </c>
      <c r="B5" t="str">
        <v>文件夹</v>
      </c>
      <c r="C5">
        <v>28</v>
      </c>
      <c r="D5">
        <v>6</v>
      </c>
      <c r="E5">
        <v>168</v>
      </c>
    </row>
    <row r="6">
      <c r="A6" t="str">
        <v>耗材</v>
      </c>
      <c r="B6" t="str">
        <v>标签纸</v>
      </c>
      <c r="C6">
        <v>20</v>
      </c>
      <c r="D6">
        <v>5</v>
      </c>
      <c r="E6">
        <v>100</v>
      </c>
    </row>
    <row r="7">
      <c r="A7" t="str">
        <v>耗材</v>
      </c>
      <c r="B7" t="str">
        <v>签字笔</v>
      </c>
      <c r="C7">
        <v>35</v>
      </c>
      <c r="D7">
        <v>3</v>
      </c>
      <c r="E7">
        <v>105</v>
      </c>
    </row>
    <row r="8">
      <c r="A8" t="str">
        <v>教材</v>
      </c>
      <c r="B8" t="str">
        <v>Word 实训册</v>
      </c>
      <c r="C8">
        <v>24</v>
      </c>
      <c r="D8">
        <v>18</v>
      </c>
      <c r="E8">
        <v>432</v>
      </c>
    </row>
    <row r="9">
      <c r="A9" t="str">
        <v>教材</v>
      </c>
      <c r="B9" t="str">
        <v>Excel 实训册</v>
      </c>
      <c r="C9">
        <v>30</v>
      </c>
      <c r="D9">
        <v>20</v>
      </c>
      <c r="E9">
        <v>600</v>
      </c>
    </row>
    <row r="10">
      <c r="A10" t="str">
        <v>教材</v>
      </c>
      <c r="B10" t="str">
        <v>PPT 实训册</v>
      </c>
      <c r="C10">
        <v>22</v>
      </c>
      <c r="D10">
        <v>19</v>
      </c>
      <c r="E10">
        <v>418</v>
      </c>
    </row>
    <row r="11">
      <c r="A11" t="str">
        <v>教材</v>
      </c>
      <c r="B11" t="str">
        <v>模拟题册</v>
      </c>
      <c r="C11">
        <v>20</v>
      </c>
      <c r="D11">
        <v>16</v>
      </c>
      <c r="E11">
        <v>320</v>
      </c>
    </row>
    <row r="12">
      <c r="A12" t="str">
        <v>教材</v>
      </c>
      <c r="B12" t="str">
        <v>错题本</v>
      </c>
      <c r="C12">
        <v>25</v>
      </c>
      <c r="D12">
        <v>12</v>
      </c>
      <c r="E12">
        <v>300</v>
      </c>
    </row>
    <row r="13">
      <c r="A13" t="str">
        <v>教材</v>
      </c>
      <c r="B13" t="str">
        <v>考试指南</v>
      </c>
      <c r="C13">
        <v>18</v>
      </c>
      <c r="D13">
        <v>22</v>
      </c>
      <c r="E13">
        <v>396</v>
      </c>
    </row>
    <row r="14">
      <c r="A14" t="str">
        <v>设备</v>
      </c>
      <c r="B14" t="str">
        <v>键盘</v>
      </c>
      <c r="C14">
        <v>6</v>
      </c>
      <c r="D14">
        <v>95</v>
      </c>
      <c r="E14">
        <v>570</v>
      </c>
    </row>
    <row r="15">
      <c r="A15" t="str">
        <v>设备</v>
      </c>
      <c r="B15" t="str">
        <v>鼠标</v>
      </c>
      <c r="C15">
        <v>10</v>
      </c>
      <c r="D15">
        <v>68</v>
      </c>
      <c r="E15">
        <v>680</v>
      </c>
    </row>
    <row r="16">
      <c r="A16" t="str">
        <v>设备</v>
      </c>
      <c r="B16" t="str">
        <v>耳机</v>
      </c>
      <c r="C16">
        <v>8</v>
      </c>
      <c r="D16">
        <v>120</v>
      </c>
      <c r="E16">
        <v>960</v>
      </c>
    </row>
    <row r="17">
      <c r="A17" t="str">
        <v>设备</v>
      </c>
      <c r="B17" t="str">
        <v>摄像头</v>
      </c>
      <c r="C17">
        <v>4</v>
      </c>
      <c r="D17">
        <v>260</v>
      </c>
      <c r="E17">
        <v>1040</v>
      </c>
    </row>
    <row r="18">
      <c r="A18" t="str">
        <v>设备</v>
      </c>
      <c r="B18" t="str">
        <v>显示器</v>
      </c>
      <c r="C18">
        <v>3</v>
      </c>
      <c r="D18">
        <v>760</v>
      </c>
      <c r="E18">
        <v>2280</v>
      </c>
    </row>
    <row r="19">
      <c r="A19" t="str">
        <v>设备</v>
      </c>
      <c r="B19" t="str">
        <v>投影仪</v>
      </c>
      <c r="C19">
        <v>2</v>
      </c>
      <c r="D19">
        <v>2400</v>
      </c>
      <c r="E19">
        <v>4800</v>
      </c>
    </row>
  </sheetData>
  <autoFilter ref="A1:E19"/>
  <ignoredErrors>
    <ignoredError numberStoredAsText="1" sqref="A1:E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分类汇总前必须按分类字段排序。</v>
      </c>
    </row>
    <row r="3">
      <c r="A3" t="str">
        <v>汇总方式为求和，汇总项为销售额。</v>
      </c>
    </row>
    <row r="4">
      <c r="A4" t="str">
        <v>可使用左侧分级按钮查看明细或小计。</v>
      </c>
    </row>
    <row r="6">
      <c r="A6" t="str">
        <v>评分标准</v>
      </c>
    </row>
    <row r="7">
      <c r="A7" t="str">
        <v>排序准备（2分）：先按类别排序</v>
      </c>
    </row>
    <row r="8">
      <c r="A8" t="str">
        <v>分类汇总（5分）：类别小计和总计正确</v>
      </c>
    </row>
    <row r="9">
      <c r="A9" t="str">
        <v>分级显示（3分）：可切换小计/明细视图</v>
      </c>
    </row>
  </sheetData>
  <ignoredErrors>
    <ignoredError numberStoredAsText="1" sqref="A1:A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cols>
    <col min="1" max="1" width="12.83203125" customWidth="1"/>
    <col min="2" max="2" width="14.83203125" customWidth="1"/>
  </cols>
  <sheetData>
    <row r="1">
      <c r="A1" t="str">
        <v>类别</v>
      </c>
      <c r="B1" t="str">
        <v>销售额小计</v>
      </c>
    </row>
    <row r="2">
      <c r="A2" t="str">
        <v>教材</v>
      </c>
      <c r="B2">
        <f>SUMIF(原始数据!$A$2:$A$19,A2,原始数据!$E$2:$E$19)</f>
      </c>
    </row>
    <row r="3">
      <c r="A3" t="str">
        <v>耗材</v>
      </c>
      <c r="B3">
        <f>SUMIF(原始数据!$A$2:$A$19,A3,原始数据!$E$2:$E$19)</f>
      </c>
    </row>
    <row r="4">
      <c r="A4" t="str">
        <v>设备</v>
      </c>
      <c r="B4">
        <f>SUMIF(原始数据!$A$2:$A$19,A4,原始数据!$E$2:$E$19)</f>
      </c>
    </row>
    <row r="5">
      <c r="A5" t="str">
        <v>总计</v>
      </c>
      <c r="B5">
        <f>SUM(B2:B4)</f>
      </c>
    </row>
    <row r="7">
      <c r="A7" t="str">
        <v>说明：该表给出可编辑公式参考结果；原生“分类汇总/分级显示”须在 Microsoft Office 或 WPS 中按题目要求执行并人工复核。</v>
      </c>
    </row>
  </sheetData>
  <ignoredErrors>
    <ignoredError numberStoredAsText="1" sqref="A1:B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题目说明</vt:lpstr>
      <vt:lpstr>原始数据</vt:lpstr>
      <vt:lpstr>参考答案</vt:lpstr>
      <vt:lpstr>分类汇总参考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